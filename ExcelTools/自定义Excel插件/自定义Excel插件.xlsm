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min\Desktop\发文章\自定义Excel插件\"/>
    </mc:Choice>
  </mc:AlternateContent>
  <bookViews>
    <workbookView xWindow="2970" yWindow="1935" windowWidth="23040" windowHeight="13665" tabRatio="500"/>
  </bookViews>
  <sheets>
    <sheet name="Sheet1" sheetId="1" r:id="rId1"/>
    <sheet name="_xlwings.conf" sheetId="2" r:id="rId2"/>
  </sheets>
  <calcPr calcId="162913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  <c r="D4" i="1"/>
  <c r="C4" i="1"/>
  <c r="B4" i="1"/>
  <c r="D3" i="1"/>
  <c r="C3" i="1"/>
  <c r="B3" i="1"/>
  <c r="D2" i="1"/>
  <c r="C2" i="1"/>
  <c r="B2" i="1"/>
</calcChain>
</file>

<file path=xl/sharedStrings.xml><?xml version="1.0" encoding="utf-8"?>
<sst xmlns="http://schemas.openxmlformats.org/spreadsheetml/2006/main" count="22" uniqueCount="19">
  <si>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</si>
  <si>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</si>
  <si>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</si>
  <si>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</si>
  <si>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</si>
  <si>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</si>
  <si>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</si>
  <si>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</si>
  <si>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</si>
  <si>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</si>
  <si>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</si>
  <si>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</si>
  <si>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</si>
  <si>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</si>
  <si>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</si>
  <si>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AU(T+D).SGE</t>
  </si>
  <si>
    <t>AU2212.SHF</t>
  </si>
  <si>
    <t>SPTAUUSDOZ.IDC</t>
  </si>
  <si>
    <t>USDCNY.IB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</si>
</sst>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2AACA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405.78000000000003</v>
        <stp/>
        <stp>AU2212.SHF</stp>
        <stp>rt_last</stp>
        <stp>RT_Price</stp>
        <tr r="D3" s="1"/>
        <tr r="C4" s="1"/>
        <tr r="C2" s="1"/>
        <tr r="B3" s="1"/>
        <tr r="C3" s="1"/>
        <tr r="C3" s="1"/>
      </tp>
      <tp>
        <v>1780.9350000000002</v>
        <stp/>
        <stp>SPTAUUSDOZ.IDC</stp>
        <stp>rt_last</stp>
        <stp>RT_Price</stp>
        <tr r="D2" s="1"/>
        <tr r="D3" s="1"/>
        <tr r="B4" s="1"/>
        <tr r="C4" s="1"/>
        <tr r="D4" s="1"/>
        <tr r="D4" s="1"/>
      </tp>
      <tp>
        <v>7.0600000000000005</v>
        <stp/>
        <stp>USDCNY.IB</stp>
        <stp>rt_last</stp>
        <stp>RT_Price</stp>
        <tr r="B6" s="1"/>
      </tp>
      <tp>
        <v>406</v>
        <stp/>
        <stp>AU(T+D).SGE</stp>
        <stp>rt_last</stp>
        <stp>RT_Price</stp>
        <tr r="D2" s="1"/>
        <tr r="B4" s="1"/>
        <tr r="B2" s="1"/>
        <tr r="B2" s="1"/>
        <tr r="C2" s="1"/>
        <tr r="B3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workbookViewId="0">
      <selection sqref="A1:D6"/>
    </sheetView>
  </sheetViews>
  <sheetFormatPr defaultColWidth="11" defaultRowHeight="14.25" x14ac:dyDescent="0.15"/>
  <sheetData>
    <row r="1" spans="1:4" x14ac:dyDescent="0.15">
      <c r="A1" s="3"/>
      <c r="B1" s="4" t="s">
        <v>15</v>
      </c>
      <c r="C1" s="4" t="s">
        <v>16</v>
      </c>
      <c r="D1" s="4" t="s">
        <v>17</v>
      </c>
    </row>
    <row r="2" spans="1:4" x14ac:dyDescent="0.15">
      <c r="A2" s="4" t="s">
        <v>15</v>
      </c>
      <c r="B2" s="3">
        <f>RTD("wdf.rtq", ,"AU(T+D).SGE", "rt_last","RT_Price")-RTD("wdf.rtq", ,"AU(T+D).SGE", "rt_last","RT_Price")</f>
        <v>0</v>
      </c>
      <c r="C2" s="3">
        <f>RTD("wdf.rtq", ,"AU2212.SHF", "rt_last","RT_Price")-RTD("wdf.rtq", ,"AU(T+D).SGE", "rt_last","RT_Price")</f>
        <v>-0.21999999999997044</v>
      </c>
      <c r="D2" s="3">
        <f>RTD("wdf.rtq", ,"SPTAUUSDOZ.IDC", "rt_last","RT_Price")*B6/31.1035-RTD("wdf.rtq", ,"AU(T+D).SGE", "rt_last","RT_Price")</f>
        <v>-1.7560692526563457</v>
      </c>
    </row>
    <row r="3" spans="1:4" x14ac:dyDescent="0.15">
      <c r="A3" s="4" t="s">
        <v>16</v>
      </c>
      <c r="B3" s="3">
        <f>RTD("wdf.rtq", ,"AU(T+D).SGE", "rt_last","RT_Price")-RTD("wdf.rtq", ,"AU2212.SHF", "rt_last","RT_Price")</f>
        <v>0.21999999999997044</v>
      </c>
      <c r="C3" s="3">
        <f>RTD("wdf.rtq", ,"AU2212.SHF", "rt_last","RT_Price")-RTD("wdf.rtq", ,"AU2212.SHF", "rt_last","RT_Price")</f>
        <v>0</v>
      </c>
      <c r="D3" s="3">
        <f>RTD("wdf.rtq", ,"SPTAUUSDOZ.IDC", "rt_last","RT_Price")*B6/31.1035-RTD("wdf.rtq", ,"AU2212.SHF", "rt_last","RT_Price")</f>
        <v>-1.5360692526563753</v>
      </c>
    </row>
    <row r="4" spans="1:4" x14ac:dyDescent="0.15">
      <c r="A4" s="4" t="s">
        <v>17</v>
      </c>
      <c r="B4" s="3">
        <f>RTD("wdf.rtq", ,"AU(T+D).SGE", "rt_last","RT_Price")-RTD("wdf.rtq", ,"SPTAUUSDOZ.IDC", "rt_last","RT_Price")*B6/31.1035</f>
        <v>1.7560692526563457</v>
      </c>
      <c r="C4" s="3">
        <f>RTD("wdf.rtq", ,"AU2212.SHF", "rt_last","RT_Price")-RTD("wdf.rtq", ,"SPTAUUSDOZ.IDC", "rt_last","RT_Price")*B6/31.1035</f>
        <v>1.5360692526563753</v>
      </c>
      <c r="D4" s="3">
        <f>RTD("wdf.rtq", ,"SPTAUUSDOZ.IDC", "rt_last","RT_Price")*B6/31.1035-RTD("wdf.rtq", ,"SPTAUUSDOZ.IDC", "rt_last","RT_Price")*B6/31.1035</f>
        <v>0</v>
      </c>
    </row>
    <row r="6" spans="1:4" x14ac:dyDescent="0.15">
      <c r="A6" t="s">
        <v>18</v>
      </c>
      <c r="B6">
        <f>RTD("wdf.rtq", ,"USDCNY.IB", "rt_last","RT_Price")</f>
        <v>7.0600000000000005</v>
      </c>
    </row>
  </sheetData>
  <phoneticPr fontId="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4.25" x14ac:dyDescent="0.15"/>
  <cols>
    <col min="1" max="1" width="14.75" style="1" customWidth="1"/>
    <col min="2" max="2" width="9.25" style="1" customWidth="1"/>
    <col min="3" max="16384" width="8.875" style="1"/>
  </cols>
  <sheetData>
    <row r="1" spans="1:2" x14ac:dyDescent="0.15">
      <c r="A1" s="1" t="s">
        <v>8</v>
      </c>
      <c r="B1" s="1" t="s">
        <v>13</v>
      </c>
    </row>
    <row r="2" spans="1:2" x14ac:dyDescent="0.15">
      <c r="A2" s="1" t="s">
        <v>9</v>
      </c>
    </row>
    <row r="3" spans="1:2" x14ac:dyDescent="0.15">
      <c r="A3" s="1" t="s">
        <v>0</v>
      </c>
    </row>
    <row r="4" spans="1:2" x14ac:dyDescent="0.15">
      <c r="A4" s="1" t="s">
        <v>7</v>
      </c>
    </row>
    <row r="5" spans="1:2" x14ac:dyDescent="0.15">
      <c r="A5" s="1" t="s">
        <v>5</v>
      </c>
    </row>
    <row r="6" spans="1:2" x14ac:dyDescent="0.15">
      <c r="A6" s="1" t="s">
        <v>1</v>
      </c>
    </row>
    <row r="7" spans="1:2" x14ac:dyDescent="0.15">
      <c r="A7" s="1" t="s">
        <v>2</v>
      </c>
      <c r="B7" s="1" t="b">
        <v>0</v>
      </c>
    </row>
    <row r="8" spans="1:2" x14ac:dyDescent="0.15">
      <c r="A8" s="1" t="s">
        <v>3</v>
      </c>
      <c r="B8" s="1" t="b">
        <v>0</v>
      </c>
    </row>
    <row r="9" spans="1:2" x14ac:dyDescent="0.15">
      <c r="A9" s="1" t="s">
        <v>14</v>
      </c>
      <c r="B9" s="1" t="b">
        <v>0</v>
      </c>
    </row>
    <row r="13" spans="1:2" x14ac:dyDescent="0.15">
      <c r="A13" s="2" t="s">
        <v>4</v>
      </c>
    </row>
    <row r="14" spans="1:2" x14ac:dyDescent="0.15">
      <c r="A14" s="1" t="s">
        <v>10</v>
      </c>
    </row>
    <row r="15" spans="1:2" x14ac:dyDescent="0.15">
      <c r="A15" s="1" t="s">
        <v>11</v>
      </c>
    </row>
    <row r="16" spans="1:2" x14ac:dyDescent="0.15">
      <c r="A16" s="1" t="s">
        <v>6</v>
      </c>
    </row>
    <row r="17" spans="1:1" x14ac:dyDescent="0.15">
      <c r="A17" s="1" t="s">
        <v>12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admin</cp:lastModifiedBy>
  <dcterms:created xsi:type="dcterms:W3CDTF">2015-01-25T11:31:25Z</dcterms:created>
  <dcterms:modified xsi:type="dcterms:W3CDTF">2022-12-01T05:51:14Z</dcterms:modified>
</cp:coreProperties>
</file>